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Tracker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<sst xmlns="http://schemas.openxmlformats.org/spreadsheetml/2006/main" count="53" uniqueCount="47">
  <si>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Competitive Intelligence Tracker — Legend</t>
  </si>
  <si>
    <t xml:space="preserve">How to use this workbook</t>
  </si>
  <si>
    <t xml:space="preserve">Tracker tab</t>
  </si>
  <si>
    <t xml:space="preserve">Log one observation per row. Fill in every column except 'Entry ID', which is a formula and should not be edited.</t>
  </si>
  <si>
    <t xml:space="preserve">Dashboard tab</t>
  </si>
  <si>
    <t xml:space="preserve">Read-only. All values are formulas that summarize the Tracker tab automatically; do not type over any cell here.</t>
  </si>
  <si>
    <t xml:space="preserve">Cells to edit</t>
  </si>
  <si>
    <t xml:space="preserve">On the Tracker tab, edit only the light-yellow highlighted example row's columns as a model for your own rows: Competitor Name, Category, Observation, Source URL, Date Observed, Impact, Notes.</t>
  </si>
  <si>
    <t xml:space="preserve">Category values</t>
  </si>
  <si>
    <t xml:space="preserve">Use one of: Product, Pricing, Marketing, Digital Presence, Talent</t>
  </si>
  <si>
    <t xml:space="preserve">Impact values</t>
  </si>
  <si>
    <t xml:space="preserve">Use one of: High, Medium, Low</t>
  </si>
  <si>
    <t xml:space="preserve">Source Reliability</t>
  </si>
  <si>
    <t xml:space="preserve">Optional: rate using the A-F scale from osint-templates/operational-planning/source-verification-framework.md</t>
  </si>
  <si>
    <t xml:space="preserve">Adding competitors</t>
  </si>
  <si>
    <t xml:space="preserve">Simply add new rows to the Tracker tab; the Dashboard tab's formulas will pick up new competitor names automatically.</t>
  </si>
  <si>
    <t xml:space="preserve">Legal and ethical note</t>
  </si>
  <si>
    <t xml:space="preserve">This tracker is for logging publicly observable competitive intelligence only (public websites, ad transparency libraries, job postings, and similar sources). See osint-tools/business-intelligence/competitive-intelligence/README.md for the full list of legal and ethical notes before use.</t>
  </si>
  <si>
    <t xml:space="preserve">Entry ID</t>
  </si>
  <si>
    <t xml:space="preserve">Competitor Name</t>
  </si>
  <si>
    <t xml:space="preserve">Category</t>
  </si>
  <si>
    <t xml:space="preserve">Observation</t>
  </si>
  <si>
    <t xml:space="preserve">Source URL</t>
  </si>
  <si>
    <t xml:space="preserve">Date Observed</t>
  </si>
  <si>
    <t xml:space="preserve">Impact (High/Med/Low)</t>
  </si>
  <si>
    <t xml:space="preserve">Source Reliability (A-F)</t>
  </si>
  <si>
    <t xml:space="preserve">Notes</t>
  </si>
  <si>
    <t xml:space="preserve">Example Competitor Co.</t>
  </si>
  <si>
    <t xml:space="preserve">Pricing</t>
  </si>
  <si>
    <t xml:space="preserve">Reduced entry-tier subscription price by 15% and introduced a new mid-tier plan</t>
  </si>
  <si>
    <t xml:space="preserve">https://example-competitor.com/pricing</t>
  </si>
  <si>
    <t xml:space="preserve">High</t>
  </si>
  <si>
    <t xml:space="preserve">A</t>
  </si>
  <si>
    <t xml:space="preserve">Observed via direct pricing page monitoring; confirm against archived snapshot for exact prior price</t>
  </si>
  <si>
    <t xml:space="preserve">Competitive Intelligence Dashboard</t>
  </si>
  <si>
    <t xml:space="preserve">Summary by Category</t>
  </si>
  <si>
    <t xml:space="preserve">Total Entries</t>
  </si>
  <si>
    <t xml:space="preserve">High Impact</t>
  </si>
  <si>
    <t xml:space="preserve">Medium Impact</t>
  </si>
  <si>
    <t xml:space="preserve">Low Impact</t>
  </si>
  <si>
    <t xml:space="preserve">Product</t>
  </si>
  <si>
    <t xml:space="preserve">Marketing</t>
  </si>
  <si>
    <t xml:space="preserve">Digital Presence</t>
  </si>
  <si>
    <t xml:space="preserve">Talent</t>
  </si>
  <si>
    <t xml:space="preserve">Summary by Competitor</t>
  </si>
  <si>
    <t xml:space="preserve">Most Recent Entry Date</t>
  </si>
  <si>
    <t xml:space="preserve">Note: Add a row here for each competitor name used in the Tracker tab, following the formula pattern in row 14.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</si>
</sst>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/>
    </row>
    <row r="4" customFormat="false" ht="15" hidden="false" customHeight="true" outlineLevel="0" collapsed="false">
      <c r="A4" s="3" t="s">
        <v>2</v>
      </c>
      <c r="B4" s="4" t="s">
        <v>3</v>
      </c>
    </row>
    <row r="5" customFormat="false" ht="15" hidden="false" customHeight="true" outlineLevel="0" collapsed="false">
      <c r="A5" s="3" t="s">
        <v>4</v>
      </c>
      <c r="B5" s="4" t="s">
        <v>5</v>
      </c>
    </row>
    <row r="6" customFormat="false" ht="23.25" hidden="false" customHeight="true" outlineLevel="0" collapsed="false">
      <c r="A6" s="3" t="s">
        <v>6</v>
      </c>
      <c r="B6" s="4" t="s">
        <v>7</v>
      </c>
    </row>
    <row r="7" customFormat="false" ht="15" hidden="false" customHeight="true" outlineLevel="0" collapsed="false">
      <c r="A7" s="3" t="s">
        <v>8</v>
      </c>
      <c r="B7" s="4" t="s">
        <v>9</v>
      </c>
    </row>
    <row r="8" customFormat="false" ht="15" hidden="false" customHeight="true" outlineLevel="0" collapsed="false">
      <c r="A8" s="3" t="s">
        <v>10</v>
      </c>
      <c r="B8" s="4" t="s">
        <v>11</v>
      </c>
    </row>
    <row r="9" customFormat="false" ht="15" hidden="false" customHeight="true" outlineLevel="0" collapsed="false">
      <c r="A9" s="3" t="s">
        <v>12</v>
      </c>
      <c r="B9" s="4" t="s">
        <v>13</v>
      </c>
    </row>
    <row r="10" customFormat="false" ht="23.25" hidden="false" customHeight="true" outlineLevel="0" collapsed="false">
      <c r="A10" s="3" t="s">
        <v>14</v>
      </c>
      <c r="B10" s="4" t="s">
        <v>15</v>
      </c>
    </row>
    <row r="12" customFormat="false" ht="45" hidden="false" customHeight="true" outlineLevel="0" collapsed="false">
      <c r="A12" s="5" t="s">
        <v>16</v>
      </c>
      <c r="B12" s="4" t="s">
        <v>17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30"/>
    <col collapsed="false" customWidth="true" hidden="false" outlineLevel="0" max="6" min="6" style="1" width="14"/>
    <col collapsed="false" customWidth="true" hidden="false" outlineLevel="0" max="8" min="7" style="1" width="20"/>
    <col collapsed="false" customWidth="true" hidden="false" outlineLevel="0" max="9" min="9" style="1" width="30"/>
  </cols>
  <sheetData>
    <row r="1" customFormat="false" ht="30" hidden="false" customHeight="true" outlineLevel="0" collapsed="false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</row>
    <row r="2" customFormat="false" ht="34.5" hidden="false" customHeight="true" outlineLevel="0" collapsed="false">
      <c r="A2" s="7" t="n">
        <f aca="false">ROW()-1</f>
        <v>1</v>
      </c>
      <c r="B2" s="7" t="s">
        <v>27</v>
      </c>
      <c r="C2" s="7" t="s">
        <v>28</v>
      </c>
      <c r="D2" s="7" t="s">
        <v>29</v>
      </c>
      <c r="E2" s="7" t="s">
        <v>30</v>
      </c>
      <c r="F2" s="8" t="n">
        <v>46174</v>
      </c>
      <c r="G2" s="7" t="s">
        <v>31</v>
      </c>
      <c r="H2" s="7" t="s">
        <v>32</v>
      </c>
      <c r="I2" s="7" t="s">
        <v>33</v>
      </c>
    </row>
    <row r="3" customFormat="false" ht="15" hidden="false" customHeight="true" outlineLevel="0" collapsed="false">
      <c r="A3" s="9" t="n">
        <f aca="false">ROW()-1</f>
        <v>2</v>
      </c>
      <c r="B3" s="9"/>
      <c r="C3" s="9"/>
      <c r="D3" s="9"/>
      <c r="E3" s="9"/>
      <c r="F3" s="10"/>
      <c r="G3" s="9"/>
      <c r="H3" s="9"/>
      <c r="I3" s="9"/>
    </row>
    <row r="4" customFormat="false" ht="15" hidden="false" customHeight="true" outlineLevel="0" collapsed="false">
      <c r="A4" s="9" t="n">
        <f aca="false">ROW()-1</f>
        <v>3</v>
      </c>
      <c r="B4" s="9"/>
      <c r="C4" s="9"/>
      <c r="D4" s="9"/>
      <c r="E4" s="9"/>
      <c r="F4" s="10"/>
      <c r="G4" s="9"/>
      <c r="H4" s="9"/>
      <c r="I4" s="9"/>
    </row>
    <row r="5" customFormat="false" ht="15" hidden="false" customHeight="true" outlineLevel="0" collapsed="false">
      <c r="A5" s="9" t="n">
        <f aca="false">ROW()-1</f>
        <v>4</v>
      </c>
      <c r="B5" s="9"/>
      <c r="C5" s="9"/>
      <c r="D5" s="9"/>
      <c r="E5" s="9"/>
      <c r="F5" s="10"/>
      <c r="G5" s="9"/>
      <c r="H5" s="9"/>
      <c r="I5" s="9"/>
    </row>
    <row r="6" customFormat="false" ht="15" hidden="false" customHeight="true" outlineLevel="0" collapsed="false">
      <c r="A6" s="9" t="n">
        <f aca="false">ROW()-1</f>
        <v>5</v>
      </c>
      <c r="B6" s="9"/>
      <c r="C6" s="9"/>
      <c r="D6" s="9"/>
      <c r="E6" s="9"/>
      <c r="F6" s="10"/>
      <c r="G6" s="9"/>
      <c r="H6" s="9"/>
      <c r="I6" s="9"/>
    </row>
    <row r="7" customFormat="false" ht="15" hidden="false" customHeight="true" outlineLevel="0" collapsed="false">
      <c r="A7" s="9" t="n">
        <f aca="false">ROW()-1</f>
        <v>6</v>
      </c>
      <c r="B7" s="9"/>
      <c r="C7" s="9"/>
      <c r="D7" s="9"/>
      <c r="E7" s="9"/>
      <c r="F7" s="10"/>
      <c r="G7" s="9"/>
      <c r="H7" s="9"/>
      <c r="I7" s="9"/>
    </row>
    <row r="8" customFormat="false" ht="15" hidden="false" customHeight="true" outlineLevel="0" collapsed="false">
      <c r="A8" s="9" t="n">
        <f aca="false">ROW()-1</f>
        <v>7</v>
      </c>
      <c r="B8" s="9"/>
      <c r="C8" s="9"/>
      <c r="D8" s="9"/>
      <c r="E8" s="9"/>
      <c r="F8" s="10"/>
      <c r="G8" s="9"/>
      <c r="H8" s="9"/>
      <c r="I8" s="9"/>
    </row>
    <row r="9" customFormat="false" ht="15" hidden="false" customHeight="true" outlineLevel="0" collapsed="false">
      <c r="A9" s="9" t="n">
        <f aca="false">ROW()-1</f>
        <v>8</v>
      </c>
      <c r="B9" s="9"/>
      <c r="C9" s="9"/>
      <c r="D9" s="9"/>
      <c r="E9" s="9"/>
      <c r="F9" s="10"/>
      <c r="G9" s="9"/>
      <c r="H9" s="9"/>
      <c r="I9" s="9"/>
    </row>
    <row r="10" customFormat="false" ht="15" hidden="false" customHeight="true" outlineLevel="0" collapsed="false">
      <c r="A10" s="9" t="n">
        <f aca="false">ROW()-1</f>
        <v>9</v>
      </c>
      <c r="B10" s="9"/>
      <c r="C10" s="9"/>
      <c r="D10" s="9"/>
      <c r="E10" s="9"/>
      <c r="F10" s="10"/>
      <c r="G10" s="9"/>
      <c r="H10" s="9"/>
      <c r="I10" s="9"/>
    </row>
    <row r="11" customFormat="false" ht="15" hidden="false" customHeight="true" outlineLevel="0" collapsed="false">
      <c r="A11" s="9" t="n">
        <f aca="false">ROW()-1</f>
        <v>10</v>
      </c>
      <c r="B11" s="9"/>
      <c r="C11" s="9"/>
      <c r="D11" s="9"/>
      <c r="E11" s="9"/>
      <c r="F11" s="10"/>
      <c r="G11" s="9"/>
      <c r="H11" s="9"/>
      <c r="I11" s="9"/>
    </row>
    <row r="12" customFormat="false" ht="15" hidden="false" customHeight="true" outlineLevel="0" collapsed="false">
      <c r="A12" s="9" t="n">
        <f aca="false">ROW()-1</f>
        <v>11</v>
      </c>
      <c r="B12" s="9"/>
      <c r="C12" s="9"/>
      <c r="D12" s="9"/>
      <c r="E12" s="9"/>
      <c r="F12" s="10"/>
      <c r="G12" s="9"/>
      <c r="H12" s="9"/>
      <c r="I12" s="9"/>
    </row>
    <row r="13" customFormat="false" ht="15" hidden="false" customHeight="true" outlineLevel="0" collapsed="false">
      <c r="A13" s="9" t="n">
        <f aca="false">ROW()-1</f>
        <v>12</v>
      </c>
      <c r="B13" s="9"/>
      <c r="C13" s="9"/>
      <c r="D13" s="9"/>
      <c r="E13" s="9"/>
      <c r="F13" s="10"/>
      <c r="G13" s="9"/>
      <c r="H13" s="9"/>
      <c r="I13" s="9"/>
    </row>
    <row r="14" customFormat="false" ht="15" hidden="false" customHeight="true" outlineLevel="0" collapsed="false">
      <c r="A14" s="9" t="n">
        <f aca="false">ROW()-1</f>
        <v>13</v>
      </c>
      <c r="B14" s="9"/>
      <c r="C14" s="9"/>
      <c r="D14" s="9"/>
      <c r="E14" s="9"/>
      <c r="F14" s="10"/>
      <c r="G14" s="9"/>
      <c r="H14" s="9"/>
      <c r="I14" s="9"/>
    </row>
    <row r="15" customFormat="false" ht="15" hidden="false" customHeight="true" outlineLevel="0" collapsed="false">
      <c r="A15" s="9" t="n">
        <f aca="false">ROW()-1</f>
        <v>14</v>
      </c>
      <c r="B15" s="9"/>
      <c r="C15" s="9"/>
      <c r="D15" s="9"/>
      <c r="E15" s="9"/>
      <c r="F15" s="10"/>
      <c r="G15" s="9"/>
      <c r="H15" s="9"/>
      <c r="I15" s="9"/>
    </row>
    <row r="16" customFormat="false" ht="15" hidden="false" customHeight="true" outlineLevel="0" collapsed="false">
      <c r="A16" s="9" t="n">
        <f aca="false">ROW()-1</f>
        <v>15</v>
      </c>
      <c r="B16" s="9"/>
      <c r="C16" s="9"/>
      <c r="D16" s="9"/>
      <c r="E16" s="9"/>
      <c r="F16" s="10"/>
      <c r="G16" s="9"/>
      <c r="H16" s="9"/>
      <c r="I16" s="9"/>
    </row>
    <row r="17" customFormat="false" ht="15" hidden="false" customHeight="true" outlineLevel="0" collapsed="false">
      <c r="A17" s="9" t="n">
        <f aca="false">ROW()-1</f>
        <v>16</v>
      </c>
      <c r="B17" s="9"/>
      <c r="C17" s="9"/>
      <c r="D17" s="9"/>
      <c r="E17" s="9"/>
      <c r="F17" s="10"/>
      <c r="G17" s="9"/>
      <c r="H17" s="9"/>
      <c r="I17" s="9"/>
    </row>
    <row r="18" customFormat="false" ht="15" hidden="false" customHeight="true" outlineLevel="0" collapsed="false">
      <c r="A18" s="9" t="n">
        <f aca="false">ROW()-1</f>
        <v>17</v>
      </c>
      <c r="B18" s="9"/>
      <c r="C18" s="9"/>
      <c r="D18" s="9"/>
      <c r="E18" s="9"/>
      <c r="F18" s="10"/>
      <c r="G18" s="9"/>
      <c r="H18" s="9"/>
      <c r="I18" s="9"/>
    </row>
    <row r="19" customFormat="false" ht="15" hidden="false" customHeight="true" outlineLevel="0" collapsed="false">
      <c r="A19" s="9" t="n">
        <f aca="false">ROW()-1</f>
        <v>18</v>
      </c>
      <c r="B19" s="9"/>
      <c r="C19" s="9"/>
      <c r="D19" s="9"/>
      <c r="E19" s="9"/>
      <c r="F19" s="10"/>
      <c r="G19" s="9"/>
      <c r="H19" s="9"/>
      <c r="I19" s="9"/>
    </row>
    <row r="20" customFormat="false" ht="15" hidden="false" customHeight="true" outlineLevel="0" collapsed="false">
      <c r="A20" s="9" t="n">
        <f aca="false">ROW()-1</f>
        <v>19</v>
      </c>
      <c r="B20" s="9"/>
      <c r="C20" s="9"/>
      <c r="D20" s="9"/>
      <c r="E20" s="9"/>
      <c r="F20" s="10"/>
      <c r="G20" s="9"/>
      <c r="H20" s="9"/>
      <c r="I20" s="9"/>
    </row>
    <row r="21" customFormat="false" ht="15" hidden="false" customHeight="true" outlineLevel="0" collapsed="false">
      <c r="A21" s="9" t="n">
        <f aca="false">ROW()-1</f>
        <v>20</v>
      </c>
      <c r="B21" s="9"/>
      <c r="C21" s="9"/>
      <c r="D21" s="9"/>
      <c r="E21" s="9"/>
      <c r="F21" s="10"/>
      <c r="G21" s="9"/>
      <c r="H21" s="9"/>
      <c r="I21" s="9"/>
    </row>
    <row r="22" customFormat="false" ht="15" hidden="false" customHeight="true" outlineLevel="0" collapsed="false">
      <c r="A22" s="9" t="n">
        <f aca="false">ROW()-1</f>
        <v>21</v>
      </c>
      <c r="B22" s="9"/>
      <c r="C22" s="9"/>
      <c r="D22" s="9"/>
      <c r="E22" s="9"/>
      <c r="F22" s="10"/>
      <c r="G22" s="9"/>
      <c r="H22" s="9"/>
      <c r="I22" s="9"/>
    </row>
    <row r="23" customFormat="false" ht="15" hidden="false" customHeight="true" outlineLevel="0" collapsed="false">
      <c r="A23" s="9" t="n">
        <f aca="false">ROW()-1</f>
        <v>22</v>
      </c>
      <c r="B23" s="9"/>
      <c r="C23" s="9"/>
      <c r="D23" s="9"/>
      <c r="E23" s="9"/>
      <c r="F23" s="10"/>
      <c r="G23" s="9"/>
      <c r="H23" s="9"/>
      <c r="I23" s="9"/>
    </row>
    <row r="24" customFormat="false" ht="15" hidden="false" customHeight="true" outlineLevel="0" collapsed="false">
      <c r="A24" s="9" t="n">
        <f aca="false">ROW()-1</f>
        <v>23</v>
      </c>
      <c r="B24" s="9"/>
      <c r="C24" s="9"/>
      <c r="D24" s="9"/>
      <c r="E24" s="9"/>
      <c r="F24" s="10"/>
      <c r="G24" s="9"/>
      <c r="H24" s="9"/>
      <c r="I24" s="9"/>
    </row>
    <row r="25" customFormat="false" ht="15" hidden="false" customHeight="true" outlineLevel="0" collapsed="false">
      <c r="A25" s="9" t="n">
        <f aca="false">ROW()-1</f>
        <v>24</v>
      </c>
      <c r="B25" s="9"/>
      <c r="C25" s="9"/>
      <c r="D25" s="9"/>
      <c r="E25" s="9"/>
      <c r="F25" s="10"/>
      <c r="G25" s="9"/>
      <c r="H25" s="9"/>
      <c r="I25" s="9"/>
    </row>
    <row r="26" customFormat="false" ht="15" hidden="false" customHeight="true" outlineLevel="0" collapsed="false">
      <c r="A26" s="9" t="n">
        <f aca="false">ROW()-1</f>
        <v>25</v>
      </c>
      <c r="B26" s="9"/>
      <c r="C26" s="9"/>
      <c r="D26" s="9"/>
      <c r="E26" s="9"/>
      <c r="F26" s="10"/>
      <c r="G26" s="9"/>
      <c r="H26" s="9"/>
      <c r="I26" s="9"/>
    </row>
    <row r="27" customFormat="false" ht="15" hidden="false" customHeight="true" outlineLevel="0" collapsed="false">
      <c r="A27" s="9" t="n">
        <f aca="false">ROW()-1</f>
        <v>26</v>
      </c>
      <c r="B27" s="9"/>
      <c r="C27" s="9"/>
      <c r="D27" s="9"/>
      <c r="E27" s="9"/>
      <c r="F27" s="10"/>
      <c r="G27" s="9"/>
      <c r="H27" s="9"/>
      <c r="I27" s="9"/>
    </row>
    <row r="28" customFormat="false" ht="15" hidden="false" customHeight="true" outlineLevel="0" collapsed="false">
      <c r="A28" s="9" t="n">
        <f aca="false">ROW()-1</f>
        <v>27</v>
      </c>
      <c r="B28" s="9"/>
      <c r="C28" s="9"/>
      <c r="D28" s="9"/>
      <c r="E28" s="9"/>
      <c r="F28" s="10"/>
      <c r="G28" s="9"/>
      <c r="H28" s="9"/>
      <c r="I28" s="9"/>
    </row>
    <row r="29" customFormat="false" ht="15" hidden="false" customHeight="true" outlineLevel="0" collapsed="false">
      <c r="A29" s="9" t="n">
        <f aca="false">ROW()-1</f>
        <v>28</v>
      </c>
      <c r="B29" s="9"/>
      <c r="C29" s="9"/>
      <c r="D29" s="9"/>
      <c r="E29" s="9"/>
      <c r="F29" s="10"/>
      <c r="G29" s="9"/>
      <c r="H29" s="9"/>
      <c r="I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34</v>
      </c>
      <c r="B1" s="2"/>
      <c r="C1" s="2"/>
      <c r="D1" s="2"/>
      <c r="E1" s="2"/>
    </row>
    <row r="3" customFormat="false" ht="15" hidden="false" customHeight="true" outlineLevel="0" collapsed="false">
      <c r="A3" s="11" t="s">
        <v>35</v>
      </c>
    </row>
    <row r="4" customFormat="false" ht="15" hidden="false" customHeight="true" outlineLevel="0" collapsed="false">
      <c r="A4" s="12" t="s">
        <v>20</v>
      </c>
      <c r="B4" s="12" t="s">
        <v>36</v>
      </c>
      <c r="C4" s="12" t="s">
        <v>37</v>
      </c>
      <c r="D4" s="12" t="s">
        <v>38</v>
      </c>
      <c r="E4" s="12" t="s">
        <v>39</v>
      </c>
    </row>
    <row r="5" customFormat="false" ht="15" hidden="false" customHeight="true" outlineLevel="0" collapsed="false">
      <c r="A5" s="9" t="s">
        <v>40</v>
      </c>
      <c r="B5" s="9" t="n">
        <f aca="false">COUNTIF(Tracker!$C$2:$C$1000,A5)</f>
        <v>0</v>
      </c>
      <c r="C5" s="9" t="n">
        <f aca="false">COUNTIFS(Tracker!$C$2:$C$1000,A5,Tracker!$G$2:$G$1000,"High")</f>
        <v>0</v>
      </c>
      <c r="D5" s="9" t="n">
        <f aca="false">COUNTIFS(Tracker!$C$2:$C$1000,A5,Tracker!$G$2:$G$1000,"Medium")</f>
        <v>0</v>
      </c>
      <c r="E5" s="9" t="n">
        <f aca="false">COUNTIFS(Tracker!$C$2:$C$1000,A5,Tracker!$G$2:$G$1000,"Low")</f>
        <v>0</v>
      </c>
    </row>
    <row r="6" customFormat="false" ht="15" hidden="false" customHeight="true" outlineLevel="0" collapsed="false">
      <c r="A6" s="9" t="s">
        <v>28</v>
      </c>
      <c r="B6" s="9" t="n">
        <f aca="false">COUNTIF(Tracker!$C$2:$C$1000,A6)</f>
        <v>1</v>
      </c>
      <c r="C6" s="9" t="n">
        <f aca="false">COUNTIFS(Tracker!$C$2:$C$1000,A6,Tracker!$G$2:$G$1000,"High")</f>
        <v>1</v>
      </c>
      <c r="D6" s="9" t="n">
        <f aca="false">COUNTIFS(Tracker!$C$2:$C$1000,A6,Tracker!$G$2:$G$1000,"Medium")</f>
        <v>0</v>
      </c>
      <c r="E6" s="9" t="n">
        <f aca="false">COUNTIFS(Tracker!$C$2:$C$1000,A6,Tracker!$G$2:$G$1000,"Low")</f>
        <v>0</v>
      </c>
    </row>
    <row r="7" customFormat="false" ht="15" hidden="false" customHeight="true" outlineLevel="0" collapsed="false">
      <c r="A7" s="9" t="s">
        <v>41</v>
      </c>
      <c r="B7" s="9" t="n">
        <f aca="false">COUNTIF(Tracker!$C$2:$C$1000,A7)</f>
        <v>0</v>
      </c>
      <c r="C7" s="9" t="n">
        <f aca="false">COUNTIFS(Tracker!$C$2:$C$1000,A7,Tracker!$G$2:$G$1000,"High")</f>
        <v>0</v>
      </c>
      <c r="D7" s="9" t="n">
        <f aca="false">COUNTIFS(Tracker!$C$2:$C$1000,A7,Tracker!$G$2:$G$1000,"Medium")</f>
        <v>0</v>
      </c>
      <c r="E7" s="9" t="n">
        <f aca="false">COUNTIFS(Tracker!$C$2:$C$1000,A7,Tracker!$G$2:$G$1000,"Low")</f>
        <v>0</v>
      </c>
    </row>
    <row r="8" customFormat="false" ht="15" hidden="false" customHeight="true" outlineLevel="0" collapsed="false">
      <c r="A8" s="9" t="s">
        <v>42</v>
      </c>
      <c r="B8" s="9" t="n">
        <f aca="false">COUNTIF(Tracker!$C$2:$C$1000,A8)</f>
        <v>0</v>
      </c>
      <c r="C8" s="9" t="n">
        <f aca="false">COUNTIFS(Tracker!$C$2:$C$1000,A8,Tracker!$G$2:$G$1000,"High")</f>
        <v>0</v>
      </c>
      <c r="D8" s="9" t="n">
        <f aca="false">COUNTIFS(Tracker!$C$2:$C$1000,A8,Tracker!$G$2:$G$1000,"Medium")</f>
        <v>0</v>
      </c>
      <c r="E8" s="9" t="n">
        <f aca="false">COUNTIFS(Tracker!$C$2:$C$1000,A8,Tracker!$G$2:$G$1000,"Low")</f>
        <v>0</v>
      </c>
    </row>
    <row r="9" customFormat="false" ht="15" hidden="false" customHeight="true" outlineLevel="0" collapsed="false">
      <c r="A9" s="9" t="s">
        <v>43</v>
      </c>
      <c r="B9" s="9" t="n">
        <f aca="false">COUNTIF(Tracker!$C$2:$C$1000,A9)</f>
        <v>0</v>
      </c>
      <c r="C9" s="9" t="n">
        <f aca="false">COUNTIFS(Tracker!$C$2:$C$1000,A9,Tracker!$G$2:$G$1000,"High")</f>
        <v>0</v>
      </c>
      <c r="D9" s="9" t="n">
        <f aca="false">COUNTIFS(Tracker!$C$2:$C$1000,A9,Tracker!$G$2:$G$1000,"Medium")</f>
        <v>0</v>
      </c>
      <c r="E9" s="9" t="n">
        <f aca="false">COUNTIFS(Tracker!$C$2:$C$1000,A9,Tracker!$G$2:$G$1000,"Low")</f>
        <v>0</v>
      </c>
    </row>
    <row r="12" customFormat="false" ht="15" hidden="false" customHeight="true" outlineLevel="0" collapsed="false">
      <c r="A12" s="11" t="s">
        <v>44</v>
      </c>
    </row>
    <row r="13" customFormat="false" ht="26.25" hidden="false" customHeight="true" outlineLevel="0" collapsed="false">
      <c r="A13" s="12" t="s">
        <v>19</v>
      </c>
      <c r="B13" s="12" t="s">
        <v>36</v>
      </c>
      <c r="C13" s="12" t="s">
        <v>37</v>
      </c>
      <c r="D13" s="12" t="s">
        <v>45</v>
      </c>
    </row>
    <row r="14" customFormat="false" ht="15" hidden="false" customHeight="true" outlineLevel="0" collapsed="false">
      <c r="A14" s="9" t="s">
        <v>27</v>
      </c>
      <c r="B14" s="9" t="n">
        <f aca="false">COUNTIF(Tracker!$B$2:$B$1000,A14)</f>
        <v>1</v>
      </c>
      <c r="C14" s="9" t="n">
        <f aca="false">COUNTIFS(Tracker!$B$2:$B$1000,A14,Tracker!$G$2:$G$1000,"High")</f>
        <v>1</v>
      </c>
      <c r="D14" s="10" t="n">
        <f aca="false">_xlfn.MAXIFS(Tracker!$F$2:$F$1000,Tracker!$B$2:$B$1000,A14)</f>
        <v>46174</v>
      </c>
    </row>
    <row r="16" customFormat="false" ht="15" hidden="false" customHeight="true" outlineLevel="0" collapsed="false">
      <c r="A16" s="13" t="s">
        <v>46</v>
      </c>
      <c r="B16" s="13"/>
      <c r="C16" s="13"/>
      <c r="D16" s="13"/>
      <c r="E16" s="13"/>
    </row>
  </sheetData>
  <mergeCells count="2">
    <mergeCell ref="A1:E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2026-07-28T20:19:39Z</dcterms:created>
  <dc:creator>openpyxl</dc:creator>
  <dc:description/>
  <dc:language>en-US</dc:language>
  <cp:lastModifiedBy/>
  <dcterms:modified xsi:type="dcterms:W3CDTF">2026-07-28T20:20:10Z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